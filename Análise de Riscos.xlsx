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a630782115b547/Capstone 2026.1/"/>
    </mc:Choice>
  </mc:AlternateContent>
  <xr:revisionPtr revIDLastSave="124" documentId="8_{B039CCDA-413E-438F-B9E1-D435F79B8FFA}" xr6:coauthVersionLast="47" xr6:coauthVersionMax="47" xr10:uidLastSave="{817D0EAC-85A3-416C-BCEF-FD4C1C6522D3}"/>
  <bookViews>
    <workbookView xWindow="-23148" yWindow="2424" windowWidth="23256" windowHeight="12456" xr2:uid="{FF71EEA9-59AF-465B-B2BE-7DC83BA27B50}"/>
  </bookViews>
  <sheets>
    <sheet name="Análise de Risco - DNA Combing" sheetId="4" r:id="rId1"/>
  </sheets>
  <externalReferences>
    <externalReference r:id="rId2"/>
  </externalReferences>
  <definedNames>
    <definedName name="PercentualConcluído">PercentualConcluídoAlém*PeríodonoPlano</definedName>
    <definedName name="PercentualConcluídoAlém">('[1]Cronograma software'!A$4=MEDIAN('[1]Cronograma software'!A$4,'[1]Cronograma software'!$E1,'[1]Cronograma software'!$E1+'[1]Cronograma software'!$F1)*('[1]Cronograma software'!$E1&gt;0))*(('[1]Cronograma software'!A$4&lt;(INT('[1]Cronograma software'!$E1+'[1]Cronograma software'!$F1*'[1]Cronograma software'!$G1)))+('[1]Cronograma software'!A$4='[1]Cronograma software'!$E1))*('[1]Cronograma software'!$G1&gt;0)</definedName>
    <definedName name="período_selecionado">'[1]Cronograma software'!$H$2</definedName>
    <definedName name="PeríodonoPlano">'[1]Cronograma software'!A$4=MEDIAN('[1]Cronograma software'!A$4,'[1]Cronograma software'!$C1,'[1]Cronograma software'!$C1+'[1]Cronograma software'!$D1-1)</definedName>
    <definedName name="PeríodoReal">'[1]Cronograma software'!A$4=MEDIAN('[1]Cronograma software'!A$4,'[1]Cronograma software'!$E1,'[1]Cronograma software'!$E1+'[1]Cronograma software'!$F1-1)</definedName>
    <definedName name="Plano">PeríodonoPlano*('[1]Cronograma software'!$C1&gt;0)</definedName>
    <definedName name="Real">(PeríodoReal*('[1]Cronograma software'!$E1&gt;0))*PeríodonoPlano</definedName>
    <definedName name="RealAlém">PeríodoReal*('[1]Cronograma software'!$E1&gt;0)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4" l="1"/>
  <c r="H31" i="4"/>
  <c r="H29" i="4"/>
  <c r="H27" i="4"/>
  <c r="H25" i="4"/>
  <c r="H23" i="4"/>
  <c r="H21" i="4"/>
  <c r="H19" i="4"/>
  <c r="H17" i="4"/>
  <c r="H15" i="4"/>
  <c r="H13" i="4"/>
  <c r="H11" i="4"/>
  <c r="H9" i="4"/>
  <c r="H7" i="4"/>
  <c r="H5" i="4"/>
</calcChain>
</file>

<file path=xl/sharedStrings.xml><?xml version="1.0" encoding="utf-8"?>
<sst xmlns="http://schemas.openxmlformats.org/spreadsheetml/2006/main" count="201" uniqueCount="120">
  <si>
    <t>Descrição do risco</t>
  </si>
  <si>
    <t>Impacto</t>
  </si>
  <si>
    <t>Índice de gravidade do impacto (G)</t>
  </si>
  <si>
    <t>Medida de Prevenção (resposta ao risco)</t>
  </si>
  <si>
    <t>Responsável</t>
  </si>
  <si>
    <t>Escopo</t>
  </si>
  <si>
    <t>Qualidade</t>
  </si>
  <si>
    <t>Tempo</t>
  </si>
  <si>
    <t>Custo</t>
  </si>
  <si>
    <t>Índice de gravidade do impacto</t>
  </si>
  <si>
    <t>Muito Alto</t>
  </si>
  <si>
    <t>Médio</t>
  </si>
  <si>
    <t>Muito Baixa</t>
  </si>
  <si>
    <t>Objetivos do Projeto</t>
  </si>
  <si>
    <t>Muito Baixo</t>
  </si>
  <si>
    <t>Baixo</t>
  </si>
  <si>
    <t>Moderado</t>
  </si>
  <si>
    <t>Alto</t>
  </si>
  <si>
    <t>(0.05)</t>
  </si>
  <si>
    <t>(0.1)</t>
  </si>
  <si>
    <t>(0.2)</t>
  </si>
  <si>
    <t>(0.4)</t>
  </si>
  <si>
    <t>(0.8)</t>
  </si>
  <si>
    <t>Aumento insignificante de custo</t>
  </si>
  <si>
    <t>&lt;5% aumento de custo</t>
  </si>
  <si>
    <t>5-10% de aumento de custo</t>
  </si>
  <si>
    <t>10-20% aumento de custo</t>
  </si>
  <si>
    <t>&gt;20% aumento de custo</t>
  </si>
  <si>
    <t>Baixa</t>
  </si>
  <si>
    <t>Cronograma</t>
  </si>
  <si>
    <t>Deslocamento insignificante</t>
  </si>
  <si>
    <t>Deslocamento no cronograma &lt;5%</t>
  </si>
  <si>
    <t>Deslocamento no cronograma 5-10%</t>
  </si>
  <si>
    <t>Deslocamento no cronograma 10-20%</t>
  </si>
  <si>
    <t>Deslocamento Global do Cronograma</t>
  </si>
  <si>
    <t>Redução de escopo pouco perceptível</t>
  </si>
  <si>
    <t>Áreas secundárias do escopo afetadas</t>
  </si>
  <si>
    <t>Áreas principais do escopo são afetadas</t>
  </si>
  <si>
    <t>Redução do Escopo Inaceitável para o cliente</t>
  </si>
  <si>
    <t>Projeto Finalizado - itens obtidos são inúteis</t>
  </si>
  <si>
    <t>Problema na alimentação elétrica</t>
  </si>
  <si>
    <t>Degradação da qualidade pouco perceptível</t>
  </si>
  <si>
    <t>Apenas aplicações muito exigentes são afetadas</t>
  </si>
  <si>
    <t>Redução na qualidade requer aprovação do cliente</t>
  </si>
  <si>
    <t>Redução da qualidade inaceitável para o cliente</t>
  </si>
  <si>
    <t>Projeto Finalizado - itens obtidos são inutilizáveis</t>
  </si>
  <si>
    <t>Probabilidade de ocorrência do risco</t>
  </si>
  <si>
    <t>Alta</t>
  </si>
  <si>
    <t>Rafael</t>
  </si>
  <si>
    <t>Valor</t>
  </si>
  <si>
    <t>Nível</t>
  </si>
  <si>
    <t>Descrição</t>
  </si>
  <si>
    <t>Dificilmente Ocorrerá</t>
  </si>
  <si>
    <t>Mais provável que não ocorra</t>
  </si>
  <si>
    <t>Média</t>
  </si>
  <si>
    <t>Talvez ocorra</t>
  </si>
  <si>
    <t>Mais provável que ocorra</t>
  </si>
  <si>
    <t>Muito Alta</t>
  </si>
  <si>
    <t>Certamente ocorrerá</t>
  </si>
  <si>
    <t>Rafael/Felipe</t>
  </si>
  <si>
    <t>Gravidade (Impacto)</t>
  </si>
  <si>
    <t>Probabilidade de Ocorrência</t>
  </si>
  <si>
    <t>Qualidade ou especificação do componente adquirido diferente do especificado</t>
  </si>
  <si>
    <t>Alto Risco</t>
  </si>
  <si>
    <t>Risco Moderado</t>
  </si>
  <si>
    <t>Baixo Risco</t>
  </si>
  <si>
    <t>Probabilidade de
ocorrência (O)</t>
  </si>
  <si>
    <t>P = MAX(G)×O</t>
  </si>
  <si>
    <t>A movimentação errônea dos eixos afeta o processo de DNA Combing e o funcionamento geral da máquina</t>
  </si>
  <si>
    <t>Realizar testes incrementais de movimentação com os motores antes da integração completa, verificando precisão e repetibilidade.</t>
  </si>
  <si>
    <t>Má integração do código ao sistema eletrônico</t>
  </si>
  <si>
    <t>Falhas na comunicação entre software e eletrônica comprometem o controle da máquina</t>
  </si>
  <si>
    <t>Desenvolver software e eletrônica em paralelo, realizando testes de integração a cada nova funcionalidade implementada.</t>
  </si>
  <si>
    <t>Antonio/Milai</t>
  </si>
  <si>
    <t>Precisão insuficiente do processo de DNA Combing</t>
  </si>
  <si>
    <t>Moléculas de DNA não são linearizadas adequadamente, comprometendo o requisito principal entregue ao Hospital A.C. Camargo</t>
  </si>
  <si>
    <t>Atraso na entrega de componentes específicos</t>
  </si>
  <si>
    <t>Componentes com longo prazo de entrega atrasam etapas críticas do desenvolvimento</t>
  </si>
  <si>
    <t>Mapear e solicitar componentes de maior criticidade com máxima antecedência, pesquisando fornecedores alternativos.</t>
  </si>
  <si>
    <t>Felipe/Milai</t>
  </si>
  <si>
    <t>Não cumprimento de prazos intermediários</t>
  </si>
  <si>
    <t>Entregas e apresentações ao Insper e ao Hospital A.C. Camargo comprometidas</t>
  </si>
  <si>
    <t>Estabelecer cronograma com marcos internos anteriores aos prazos oficiais, com revisões semanais de progresso.</t>
  </si>
  <si>
    <t>Má previsão do tempo para etapas do projeto</t>
  </si>
  <si>
    <t>Subestimação da duração das tarefas causa atrasos em cascata no cronograma</t>
  </si>
  <si>
    <t>Desenvolver roteiro semanal com buffer de tempo, revisando estimativas com base no histórico de tarefas concluídas.</t>
  </si>
  <si>
    <t>Comunicação ineficiente entre frentes de trabalho</t>
  </si>
  <si>
    <t>Decisões isoladas entre mecânica, eletrônica e software geram retrabalho e incompatibilidades</t>
  </si>
  <si>
    <t>Realizar reuniões de sincronização semanais entre todas as frentes e manter documentação técnica compartilhada.</t>
  </si>
  <si>
    <t>Componentes fora de especificação demandam substituição e introduzem atrasos</t>
  </si>
  <si>
    <t>Verificar procedência e confiabilidade dos fornecedores, solicitando ficha técnica antes da compra.</t>
  </si>
  <si>
    <t>Falta de conhecimento técnico sobre o processo de DNA Combing</t>
  </si>
  <si>
    <t>Desconhecimento do processo biológico pode resultar em decisões de projeto equivocadas</t>
  </si>
  <si>
    <t>Estudar referências técnicas e artigos científicos sobre DNA Combing; consultar especialistas do Hospital A.C. Camargo.</t>
  </si>
  <si>
    <t>Todos</t>
  </si>
  <si>
    <t>Falha na superfície ou no protocolo de preparação para o combing</t>
  </si>
  <si>
    <t>Superfície inadequada inviabiliza a adesão e linearização das moléculas de DNA</t>
  </si>
  <si>
    <t>Testar diferentes protocolos de preparação de superfície antecipadamente, documentando e validando resultados com o Hospital.</t>
  </si>
  <si>
    <t>Velocidade de movimentação inadequada para o DNA Combing</t>
  </si>
  <si>
    <t>Velocidade fora dos parâmetros necessários compromete a qualidade da linearização das moléculas</t>
  </si>
  <si>
    <t>Parametrizar e calibrar a velocidade com base em referências bibliográficas e testes experimentais progressivos.</t>
  </si>
  <si>
    <t>Antonio/Felipe</t>
  </si>
  <si>
    <t>Falha elétrica compromete o funcionamento de elementos críticos da máquina</t>
  </si>
  <si>
    <t>Simular e testar o sistema elétrico em ambiente digital antes da montagem física, reduzindo riscos na prática.</t>
  </si>
  <si>
    <t>Milai</t>
  </si>
  <si>
    <t>Acidente derivado de interação física com a máquina</t>
  </si>
  <si>
    <t>Acidentes durante testes podem causar danos ao usuário e atrasar o projeto</t>
  </si>
  <si>
    <t>Garantir que o botão de emergência esteja operacional antes de qualquer teste físico do sistema mecânico.</t>
  </si>
  <si>
    <t>Recursos financeiros insuficientes para aquisição de componentes</t>
  </si>
  <si>
    <t>Limitação de verba pode impedir a compra de componentes necessários ao projeto</t>
  </si>
  <si>
    <t>Elaborar planejamento financeiro detalhado com margem de segurança para imprevistos e quebras de componentes.</t>
  </si>
  <si>
    <t>Desgaste ou falha prematura de elementos mecânicos</t>
  </si>
  <si>
    <t>Desgaste acelerado reduz a vida útil e a confiabilidade da máquina entregue</t>
  </si>
  <si>
    <t>Verificar dimensionamento dos elementos mecânicos e garantir operação dentro das especificações do fabricante.</t>
  </si>
  <si>
    <t>Felipe</t>
  </si>
  <si>
    <t>Má integração do eixo (Mecânica)</t>
  </si>
  <si>
    <t>Validar parâmetros críticos do processo (velocidade, superfície, ambiente) com referências bibliográficas antes do desenvolvimento.</t>
  </si>
  <si>
    <t>Rafael/Milai</t>
  </si>
  <si>
    <t>Rafael/Antonio</t>
  </si>
  <si>
    <t>Milai/Rafael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</si>
</sst>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0061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i/>
      <u/>
      <sz val="26"/>
      <color rgb="FF000000"/>
      <name val="Calibri"/>
      <family val="2"/>
    </font>
    <font>
      <sz val="11"/>
      <color theme="1" tint="0.24994659260841701"/>
      <name val="Aptos Display"/>
      <family val="2"/>
      <scheme val="major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11"/>
      <name val="Calibri"/>
      <family val="2"/>
    </font>
    <font>
      <sz val="11"/>
      <name val="Aptos Display"/>
      <family val="2"/>
      <scheme val="major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8DB3E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1F4E79"/>
        <bgColor rgb="FF003366"/>
      </patternFill>
    </fill>
    <fill>
      <patternFill patternType="solid">
        <fgColor rgb="FF2F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2F2F2"/>
        <bgColor rgb="FFE8F4F8"/>
      </patternFill>
    </fill>
    <fill>
      <patternFill patternType="solid">
        <fgColor rgb="FFFFFFFF"/>
        <bgColor rgb="FFF2F2F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Protection="0">
      <alignment horizontal="center" vertical="center"/>
    </xf>
  </cellStyleXfs>
  <cellXfs count="63">
    <xf numFmtId="0" fontId="0" fillId="0" borderId="0" xfId="0"/>
    <xf numFmtId="0" fontId="11" fillId="0" borderId="0" xfId="1">
      <alignment horizontal="center" vertical="center"/>
    </xf>
    <xf numFmtId="0" fontId="1" fillId="0" borderId="0" xfId="1" applyFont="1" applyAlignment="1"/>
    <xf numFmtId="0" fontId="1" fillId="9" borderId="0" xfId="1" applyFont="1" applyFill="1" applyAlignment="1">
      <alignment horizontal="center"/>
    </xf>
    <xf numFmtId="0" fontId="1" fillId="0" borderId="0" xfId="1" applyFont="1" applyAlignment="1"/>
    <xf numFmtId="0" fontId="1" fillId="7" borderId="0" xfId="1" applyFont="1" applyFill="1" applyAlignment="1">
      <alignment horizontal="center"/>
    </xf>
    <xf numFmtId="0" fontId="1" fillId="0" borderId="0" xfId="1" applyFont="1" applyFill="1" applyBorder="1" applyAlignment="1"/>
    <xf numFmtId="0" fontId="1" fillId="8" borderId="0" xfId="1" applyFont="1" applyFill="1" applyAlignment="1">
      <alignment horizontal="center"/>
    </xf>
    <xf numFmtId="0" fontId="1" fillId="0" borderId="0" xfId="1" applyFont="1" applyFill="1" applyBorder="1">
      <alignment horizontal="center" vertical="center"/>
    </xf>
    <xf numFmtId="0" fontId="10" fillId="0" borderId="0" xfId="1" applyFont="1" applyFill="1" applyBorder="1" applyAlignment="1">
      <alignment horizontal="center" vertical="center" wrapText="1"/>
    </xf>
    <xf numFmtId="0" fontId="7" fillId="0" borderId="0" xfId="1" applyFont="1" applyFill="1" applyBorder="1">
      <alignment horizontal="center" vertical="center"/>
    </xf>
    <xf numFmtId="0" fontId="1" fillId="0" borderId="0" xfId="1" applyFont="1" applyFill="1" applyBorder="1" applyAlignment="1">
      <alignment horizontal="center" vertical="center" wrapText="1"/>
    </xf>
    <xf numFmtId="0" fontId="1" fillId="0" borderId="7" xfId="1" applyFont="1" applyBorder="1" applyAlignment="1"/>
    <xf numFmtId="0" fontId="8" fillId="7" borderId="6" xfId="1" applyFont="1" applyFill="1" applyBorder="1">
      <alignment horizontal="center" vertical="center"/>
    </xf>
    <xf numFmtId="0" fontId="8" fillId="9" borderId="6" xfId="1" applyFont="1" applyFill="1" applyBorder="1">
      <alignment horizontal="center" vertical="center"/>
    </xf>
    <xf numFmtId="0" fontId="9" fillId="6" borderId="6" xfId="1" applyFont="1" applyFill="1" applyBorder="1">
      <alignment horizontal="center" vertical="center"/>
    </xf>
    <xf numFmtId="0" fontId="9" fillId="6" borderId="5" xfId="1" applyFont="1" applyFill="1" applyBorder="1" applyAlignment="1">
      <alignment horizontal="center" vertical="center" textRotation="90" wrapText="1"/>
    </xf>
    <xf numFmtId="0" fontId="1" fillId="0" borderId="0" xfId="1" applyFont="1">
      <alignment horizontal="center" vertical="center"/>
    </xf>
    <xf numFmtId="0" fontId="8" fillId="8" borderId="6" xfId="1" applyFont="1" applyFill="1" applyBorder="1">
      <alignment horizontal="center" vertical="center"/>
    </xf>
    <xf numFmtId="0" fontId="9" fillId="6" borderId="15" xfId="1" applyFont="1" applyFill="1" applyBorder="1" applyAlignment="1">
      <alignment horizontal="center" vertical="center" textRotation="90" wrapText="1"/>
    </xf>
    <xf numFmtId="0" fontId="9" fillId="6" borderId="1" xfId="1" applyFont="1" applyFill="1" applyBorder="1" applyAlignment="1">
      <alignment horizontal="center" vertical="center" textRotation="90" wrapText="1"/>
    </xf>
    <xf numFmtId="0" fontId="8" fillId="0" borderId="0" xfId="1" applyFont="1" applyAlignment="1"/>
    <xf numFmtId="0" fontId="9" fillId="6" borderId="4" xfId="1" applyFont="1" applyFill="1" applyBorder="1">
      <alignment horizontal="center" vertical="center"/>
    </xf>
    <xf numFmtId="0" fontId="9" fillId="6" borderId="3" xfId="1" applyFont="1" applyFill="1" applyBorder="1">
      <alignment horizontal="center" vertical="center"/>
    </xf>
    <xf numFmtId="0" fontId="9" fillId="6" borderId="2" xfId="1" applyFont="1" applyFill="1" applyBorder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 wrapText="1"/>
    </xf>
    <xf numFmtId="0" fontId="2" fillId="5" borderId="0" xfId="1" applyFont="1" applyFill="1">
      <alignment horizontal="center" vertical="center"/>
    </xf>
    <xf numFmtId="0" fontId="4" fillId="4" borderId="11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2" borderId="0" xfId="1" applyFont="1" applyFill="1">
      <alignment horizontal="center" vertical="center"/>
    </xf>
    <xf numFmtId="0" fontId="1" fillId="0" borderId="0" xfId="1" applyFont="1" applyAlignment="1">
      <alignment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2" fontId="13" fillId="12" borderId="1" xfId="0" applyNumberFormat="1" applyFont="1" applyFill="1" applyBorder="1" applyAlignment="1">
      <alignment horizontal="center" vertical="center" wrapText="1"/>
    </xf>
    <xf numFmtId="2" fontId="13" fillId="12" borderId="5" xfId="0" applyNumberFormat="1" applyFont="1" applyFill="1" applyBorder="1" applyAlignment="1">
      <alignment horizontal="center" vertical="center" wrapText="1"/>
    </xf>
    <xf numFmtId="2" fontId="13" fillId="14" borderId="1" xfId="0" applyNumberFormat="1" applyFont="1" applyFill="1" applyBorder="1" applyAlignment="1">
      <alignment horizontal="center" vertical="center" wrapText="1"/>
    </xf>
    <xf numFmtId="2" fontId="13" fillId="14" borderId="5" xfId="0" applyNumberFormat="1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2" fontId="16" fillId="13" borderId="6" xfId="0" applyNumberFormat="1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7" fillId="0" borderId="0" xfId="1" applyFont="1" applyFill="1" applyBorder="1">
      <alignment horizontal="center" vertical="center"/>
    </xf>
    <xf numFmtId="0" fontId="17" fillId="0" borderId="0" xfId="1" applyFont="1" applyFill="1" applyBorder="1" applyAlignment="1"/>
    <xf numFmtId="0" fontId="18" fillId="0" borderId="0" xfId="1" applyFont="1">
      <alignment horizontal="center" vertical="center"/>
    </xf>
    <xf numFmtId="0" fontId="19" fillId="10" borderId="6" xfId="0" applyFont="1" applyFill="1" applyBorder="1" applyAlignment="1">
      <alignment horizontal="center" vertical="center" wrapText="1"/>
    </xf>
    <xf numFmtId="0" fontId="20" fillId="11" borderId="6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5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3D9FB31-AC76-4F36-8975-76AD2FF44577}"/>
  </cellStyles>
  <dxfs count="3"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57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fae\Downloads\APS%203.xlsx" TargetMode="External"/><Relationship Id="rId1" Type="http://schemas.openxmlformats.org/officeDocument/2006/relationships/externalLinkPath" Target="file:///C:\Users\rafae\Downloads\APS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BS"/>
      <sheetName val="Cronograma Eletronica "/>
      <sheetName val="Cronograma Mecânica"/>
      <sheetName val="Cronograma software"/>
      <sheetName val="Análise de Risco"/>
    </sheetNames>
    <sheetDataSet>
      <sheetData sheetId="0"/>
      <sheetData sheetId="1"/>
      <sheetData sheetId="2"/>
      <sheetData sheetId="3">
        <row r="2">
          <cell r="H2">
            <v>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7932-240E-4D88-9387-A4D4193C28AD}">
  <sheetPr>
    <tabColor theme="9" tint="0.79998168889431442"/>
  </sheetPr>
  <dimension ref="A1:R36"/>
  <sheetViews>
    <sheetView tabSelected="1" zoomScale="40" zoomScaleNormal="40" workbookViewId="0">
      <selection activeCell="J31" sqref="J31:J32"/>
    </sheetView>
  </sheetViews>
  <sheetFormatPr defaultRowHeight="15" x14ac:dyDescent="0.25"/>
  <cols>
    <col min="1" max="1" width="30.42578125" style="1" customWidth="1"/>
    <col min="2" max="2" width="23.5703125" style="1" customWidth="1"/>
    <col min="3" max="7" width="23.5703125" style="54" customWidth="1"/>
    <col min="8" max="8" width="23.5703125" style="1" customWidth="1"/>
    <col min="9" max="9" width="38.85546875" style="1" customWidth="1"/>
    <col min="10" max="11" width="23.5703125" style="1" customWidth="1"/>
    <col min="12" max="19" width="35" style="1" customWidth="1"/>
    <col min="20" max="16384" width="9.140625" style="1"/>
  </cols>
  <sheetData>
    <row r="1" spans="1:17" ht="30" customHeight="1" x14ac:dyDescent="0.25">
      <c r="A1" s="39" t="s">
        <v>0</v>
      </c>
      <c r="B1" s="39" t="s">
        <v>1</v>
      </c>
      <c r="C1" s="55" t="s">
        <v>2</v>
      </c>
      <c r="D1" s="55"/>
      <c r="E1" s="55"/>
      <c r="F1" s="55"/>
      <c r="G1" s="57" t="s">
        <v>66</v>
      </c>
      <c r="H1" s="39" t="s">
        <v>67</v>
      </c>
      <c r="I1" s="39" t="s">
        <v>3</v>
      </c>
      <c r="J1" s="39" t="s">
        <v>4</v>
      </c>
      <c r="K1" s="2"/>
      <c r="L1" s="17"/>
      <c r="M1" s="17"/>
      <c r="N1" s="17"/>
      <c r="O1" s="17"/>
      <c r="P1" s="17"/>
      <c r="Q1" s="17"/>
    </row>
    <row r="2" spans="1:17" ht="30" customHeight="1" x14ac:dyDescent="0.25">
      <c r="A2" s="40"/>
      <c r="B2" s="40"/>
      <c r="C2" s="56" t="s">
        <v>5</v>
      </c>
      <c r="D2" s="56" t="s">
        <v>6</v>
      </c>
      <c r="E2" s="56" t="s">
        <v>7</v>
      </c>
      <c r="F2" s="56" t="s">
        <v>8</v>
      </c>
      <c r="G2" s="58"/>
      <c r="H2" s="40"/>
      <c r="I2" s="40"/>
      <c r="J2" s="40"/>
      <c r="K2" s="38"/>
      <c r="L2" s="37" t="s">
        <v>9</v>
      </c>
      <c r="M2" s="37"/>
      <c r="N2" s="37"/>
      <c r="O2" s="37"/>
      <c r="P2" s="37"/>
      <c r="Q2" s="37"/>
    </row>
    <row r="3" spans="1:17" ht="30" customHeight="1" thickBot="1" x14ac:dyDescent="0.3">
      <c r="A3" s="41" t="s">
        <v>115</v>
      </c>
      <c r="B3" s="41" t="s">
        <v>68</v>
      </c>
      <c r="C3" s="49" t="s">
        <v>10</v>
      </c>
      <c r="D3" s="49" t="s">
        <v>10</v>
      </c>
      <c r="E3" s="49" t="s">
        <v>11</v>
      </c>
      <c r="F3" s="49" t="s">
        <v>15</v>
      </c>
      <c r="G3" s="49" t="s">
        <v>28</v>
      </c>
      <c r="H3" s="45">
        <f>MAX(C4:F4)*G4</f>
        <v>0.24</v>
      </c>
      <c r="I3" s="41" t="s">
        <v>69</v>
      </c>
      <c r="J3" s="59" t="s">
        <v>79</v>
      </c>
      <c r="K3" s="2"/>
      <c r="L3" s="17"/>
      <c r="M3" s="17"/>
      <c r="N3" s="17"/>
      <c r="O3" s="17"/>
      <c r="P3" s="17"/>
      <c r="Q3" s="17"/>
    </row>
    <row r="4" spans="1:17" ht="30" customHeight="1" x14ac:dyDescent="0.25">
      <c r="A4" s="42"/>
      <c r="B4" s="42"/>
      <c r="C4" s="50">
        <v>0.8</v>
      </c>
      <c r="D4" s="50">
        <v>0.8</v>
      </c>
      <c r="E4" s="50">
        <v>0.2</v>
      </c>
      <c r="F4" s="50">
        <v>0.1</v>
      </c>
      <c r="G4" s="50">
        <v>0.3</v>
      </c>
      <c r="H4" s="46"/>
      <c r="I4" s="42"/>
      <c r="J4" s="60"/>
      <c r="K4" s="2"/>
      <c r="L4" s="36" t="s">
        <v>13</v>
      </c>
      <c r="M4" s="34" t="s">
        <v>14</v>
      </c>
      <c r="N4" s="35" t="s">
        <v>15</v>
      </c>
      <c r="O4" s="35" t="s">
        <v>16</v>
      </c>
      <c r="P4" s="35" t="s">
        <v>17</v>
      </c>
      <c r="Q4" s="34" t="s">
        <v>10</v>
      </c>
    </row>
    <row r="5" spans="1:17" ht="30" customHeight="1" thickBot="1" x14ac:dyDescent="0.3">
      <c r="A5" s="43" t="s">
        <v>70</v>
      </c>
      <c r="B5" s="43" t="s">
        <v>71</v>
      </c>
      <c r="C5" s="51" t="s">
        <v>10</v>
      </c>
      <c r="D5" s="51" t="s">
        <v>10</v>
      </c>
      <c r="E5" s="51" t="s">
        <v>17</v>
      </c>
      <c r="F5" s="51" t="s">
        <v>14</v>
      </c>
      <c r="G5" s="51" t="s">
        <v>54</v>
      </c>
      <c r="H5" s="47">
        <f>MAX(C6:F6)*G6</f>
        <v>0.4</v>
      </c>
      <c r="I5" s="43" t="s">
        <v>72</v>
      </c>
      <c r="J5" s="61" t="s">
        <v>73</v>
      </c>
      <c r="K5" s="2"/>
      <c r="L5" s="33"/>
      <c r="M5" s="31" t="s">
        <v>18</v>
      </c>
      <c r="N5" s="32" t="s">
        <v>19</v>
      </c>
      <c r="O5" s="32" t="s">
        <v>20</v>
      </c>
      <c r="P5" s="32" t="s">
        <v>21</v>
      </c>
      <c r="Q5" s="31" t="s">
        <v>22</v>
      </c>
    </row>
    <row r="6" spans="1:17" ht="30" customHeight="1" thickBot="1" x14ac:dyDescent="0.3">
      <c r="A6" s="44"/>
      <c r="B6" s="44"/>
      <c r="C6" s="50">
        <v>0.8</v>
      </c>
      <c r="D6" s="50">
        <v>0.8</v>
      </c>
      <c r="E6" s="50">
        <v>0.4</v>
      </c>
      <c r="F6" s="50">
        <v>0.05</v>
      </c>
      <c r="G6" s="50">
        <v>0.5</v>
      </c>
      <c r="H6" s="48"/>
      <c r="I6" s="44"/>
      <c r="J6" s="62"/>
      <c r="K6" s="2"/>
      <c r="L6" s="30" t="s">
        <v>8</v>
      </c>
      <c r="M6" s="25" t="s">
        <v>23</v>
      </c>
      <c r="N6" s="25" t="s">
        <v>24</v>
      </c>
      <c r="O6" s="25" t="s">
        <v>25</v>
      </c>
      <c r="P6" s="25" t="s">
        <v>26</v>
      </c>
      <c r="Q6" s="25" t="s">
        <v>27</v>
      </c>
    </row>
    <row r="7" spans="1:17" ht="30" customHeight="1" thickBot="1" x14ac:dyDescent="0.3">
      <c r="A7" s="41" t="s">
        <v>74</v>
      </c>
      <c r="B7" s="41" t="s">
        <v>75</v>
      </c>
      <c r="C7" s="49" t="s">
        <v>10</v>
      </c>
      <c r="D7" s="49" t="s">
        <v>10</v>
      </c>
      <c r="E7" s="49" t="s">
        <v>17</v>
      </c>
      <c r="F7" s="49" t="s">
        <v>11</v>
      </c>
      <c r="G7" s="49" t="s">
        <v>54</v>
      </c>
      <c r="H7" s="45">
        <f>MAX(C8:F8)*G8</f>
        <v>0.4</v>
      </c>
      <c r="I7" s="41" t="s">
        <v>116</v>
      </c>
      <c r="J7" s="59" t="s">
        <v>118</v>
      </c>
      <c r="K7" s="2"/>
      <c r="L7" s="30" t="s">
        <v>29</v>
      </c>
      <c r="M7" s="25" t="s">
        <v>30</v>
      </c>
      <c r="N7" s="25" t="s">
        <v>31</v>
      </c>
      <c r="O7" s="25" t="s">
        <v>32</v>
      </c>
      <c r="P7" s="25" t="s">
        <v>33</v>
      </c>
      <c r="Q7" s="25" t="s">
        <v>34</v>
      </c>
    </row>
    <row r="8" spans="1:17" ht="30" customHeight="1" thickBot="1" x14ac:dyDescent="0.3">
      <c r="A8" s="42"/>
      <c r="B8" s="42"/>
      <c r="C8" s="50">
        <v>0.8</v>
      </c>
      <c r="D8" s="50">
        <v>0.8</v>
      </c>
      <c r="E8" s="50">
        <v>0.4</v>
      </c>
      <c r="F8" s="50">
        <v>0.2</v>
      </c>
      <c r="G8" s="50">
        <v>0.5</v>
      </c>
      <c r="H8" s="46"/>
      <c r="I8" s="42"/>
      <c r="J8" s="60"/>
      <c r="K8" s="2"/>
      <c r="L8" s="30" t="s">
        <v>5</v>
      </c>
      <c r="M8" s="25" t="s">
        <v>35</v>
      </c>
      <c r="N8" s="25" t="s">
        <v>36</v>
      </c>
      <c r="O8" s="25" t="s">
        <v>37</v>
      </c>
      <c r="P8" s="25" t="s">
        <v>38</v>
      </c>
      <c r="Q8" s="25" t="s">
        <v>39</v>
      </c>
    </row>
    <row r="9" spans="1:17" ht="30" customHeight="1" thickBot="1" x14ac:dyDescent="0.3">
      <c r="A9" s="43" t="s">
        <v>76</v>
      </c>
      <c r="B9" s="43" t="s">
        <v>77</v>
      </c>
      <c r="C9" s="51" t="s">
        <v>17</v>
      </c>
      <c r="D9" s="51" t="s">
        <v>17</v>
      </c>
      <c r="E9" s="51" t="s">
        <v>10</v>
      </c>
      <c r="F9" s="51" t="s">
        <v>11</v>
      </c>
      <c r="G9" s="51" t="s">
        <v>54</v>
      </c>
      <c r="H9" s="47">
        <f>MAX(C10:F10)*G10</f>
        <v>0.4</v>
      </c>
      <c r="I9" s="43" t="s">
        <v>78</v>
      </c>
      <c r="J9" s="61" t="s">
        <v>117</v>
      </c>
      <c r="K9" s="2"/>
      <c r="L9" s="30" t="s">
        <v>6</v>
      </c>
      <c r="M9" s="25" t="s">
        <v>41</v>
      </c>
      <c r="N9" s="25" t="s">
        <v>42</v>
      </c>
      <c r="O9" s="25" t="s">
        <v>43</v>
      </c>
      <c r="P9" s="25" t="s">
        <v>44</v>
      </c>
      <c r="Q9" s="25" t="s">
        <v>45</v>
      </c>
    </row>
    <row r="10" spans="1:17" ht="30" customHeight="1" x14ac:dyDescent="0.25">
      <c r="A10" s="44"/>
      <c r="B10" s="44"/>
      <c r="C10" s="50">
        <v>0.4</v>
      </c>
      <c r="D10" s="50">
        <v>0.4</v>
      </c>
      <c r="E10" s="50">
        <v>0.8</v>
      </c>
      <c r="F10" s="50">
        <v>0.2</v>
      </c>
      <c r="G10" s="50">
        <v>0.5</v>
      </c>
      <c r="H10" s="48"/>
      <c r="I10" s="44"/>
      <c r="J10" s="62"/>
      <c r="K10" s="2"/>
      <c r="L10" s="17"/>
      <c r="M10" s="17"/>
      <c r="N10" s="17"/>
      <c r="O10" s="17"/>
      <c r="P10" s="17"/>
      <c r="Q10" s="17"/>
    </row>
    <row r="11" spans="1:17" ht="30" customHeight="1" x14ac:dyDescent="0.25">
      <c r="A11" s="41" t="s">
        <v>80</v>
      </c>
      <c r="B11" s="41" t="s">
        <v>81</v>
      </c>
      <c r="C11" s="49" t="s">
        <v>11</v>
      </c>
      <c r="D11" s="49" t="s">
        <v>11</v>
      </c>
      <c r="E11" s="49" t="s">
        <v>10</v>
      </c>
      <c r="F11" s="49" t="s">
        <v>15</v>
      </c>
      <c r="G11" s="49" t="s">
        <v>28</v>
      </c>
      <c r="H11" s="45">
        <f>MAX(C12:F12)*G12</f>
        <v>0.24</v>
      </c>
      <c r="I11" s="41" t="s">
        <v>82</v>
      </c>
      <c r="J11" s="59" t="s">
        <v>48</v>
      </c>
      <c r="K11" s="2"/>
      <c r="L11" s="29" t="s">
        <v>46</v>
      </c>
      <c r="M11" s="29"/>
      <c r="N11" s="29"/>
      <c r="O11" s="29"/>
      <c r="P11" s="29"/>
      <c r="Q11" s="29"/>
    </row>
    <row r="12" spans="1:17" ht="30" customHeight="1" thickBot="1" x14ac:dyDescent="0.3">
      <c r="A12" s="42"/>
      <c r="B12" s="42"/>
      <c r="C12" s="50">
        <v>0.2</v>
      </c>
      <c r="D12" s="50">
        <v>0.2</v>
      </c>
      <c r="E12" s="50">
        <v>0.8</v>
      </c>
      <c r="F12" s="50">
        <v>0.1</v>
      </c>
      <c r="G12" s="50">
        <v>0.3</v>
      </c>
      <c r="H12" s="46"/>
      <c r="I12" s="42"/>
      <c r="J12" s="60"/>
      <c r="K12" s="2"/>
      <c r="L12" s="17"/>
      <c r="M12" s="17"/>
      <c r="N12" s="17"/>
      <c r="O12" s="17"/>
      <c r="P12" s="17"/>
      <c r="Q12" s="17"/>
    </row>
    <row r="13" spans="1:17" ht="30" customHeight="1" thickBot="1" x14ac:dyDescent="0.3">
      <c r="A13" s="43" t="s">
        <v>83</v>
      </c>
      <c r="B13" s="43" t="s">
        <v>84</v>
      </c>
      <c r="C13" s="51" t="s">
        <v>15</v>
      </c>
      <c r="D13" s="51" t="s">
        <v>15</v>
      </c>
      <c r="E13" s="51" t="s">
        <v>10</v>
      </c>
      <c r="F13" s="51" t="s">
        <v>16</v>
      </c>
      <c r="G13" s="51" t="s">
        <v>47</v>
      </c>
      <c r="H13" s="47">
        <f>MAX(C14:F14)*G14</f>
        <v>0.55999999999999994</v>
      </c>
      <c r="I13" s="43" t="s">
        <v>85</v>
      </c>
      <c r="J13" s="61" t="s">
        <v>117</v>
      </c>
      <c r="K13" s="2"/>
      <c r="L13" s="28" t="s">
        <v>49</v>
      </c>
      <c r="M13" s="27" t="s">
        <v>50</v>
      </c>
      <c r="N13" s="27" t="s">
        <v>51</v>
      </c>
      <c r="O13" s="17"/>
      <c r="P13" s="17"/>
      <c r="Q13" s="17"/>
    </row>
    <row r="14" spans="1:17" ht="30" customHeight="1" thickBot="1" x14ac:dyDescent="0.3">
      <c r="A14" s="44"/>
      <c r="B14" s="44"/>
      <c r="C14" s="50">
        <v>0.1</v>
      </c>
      <c r="D14" s="50">
        <v>0.1</v>
      </c>
      <c r="E14" s="50">
        <v>0.8</v>
      </c>
      <c r="F14" s="50">
        <v>0.2</v>
      </c>
      <c r="G14" s="50">
        <v>0.7</v>
      </c>
      <c r="H14" s="48"/>
      <c r="I14" s="44"/>
      <c r="J14" s="62"/>
      <c r="K14" s="2"/>
      <c r="L14" s="26">
        <v>0.1</v>
      </c>
      <c r="M14" s="25" t="s">
        <v>12</v>
      </c>
      <c r="N14" s="25" t="s">
        <v>52</v>
      </c>
      <c r="O14" s="17"/>
      <c r="P14" s="17"/>
      <c r="Q14" s="17"/>
    </row>
    <row r="15" spans="1:17" ht="30" customHeight="1" thickBot="1" x14ac:dyDescent="0.3">
      <c r="A15" s="41" t="s">
        <v>86</v>
      </c>
      <c r="B15" s="41" t="s">
        <v>87</v>
      </c>
      <c r="C15" s="49" t="s">
        <v>11</v>
      </c>
      <c r="D15" s="49" t="s">
        <v>16</v>
      </c>
      <c r="E15" s="49" t="s">
        <v>17</v>
      </c>
      <c r="F15" s="49" t="s">
        <v>14</v>
      </c>
      <c r="G15" s="49" t="s">
        <v>28</v>
      </c>
      <c r="H15" s="45">
        <f>MAX(C16:F16)*G16</f>
        <v>0.12</v>
      </c>
      <c r="I15" s="41" t="s">
        <v>88</v>
      </c>
      <c r="J15" s="59" t="s">
        <v>94</v>
      </c>
      <c r="K15" s="2"/>
      <c r="L15" s="26">
        <v>0.3</v>
      </c>
      <c r="M15" s="25" t="s">
        <v>28</v>
      </c>
      <c r="N15" s="25" t="s">
        <v>53</v>
      </c>
      <c r="O15" s="17"/>
      <c r="P15" s="17"/>
      <c r="Q15" s="17"/>
    </row>
    <row r="16" spans="1:17" ht="30" customHeight="1" thickBot="1" x14ac:dyDescent="0.3">
      <c r="A16" s="42"/>
      <c r="B16" s="42"/>
      <c r="C16" s="50">
        <v>0.2</v>
      </c>
      <c r="D16" s="50">
        <v>0.2</v>
      </c>
      <c r="E16" s="50">
        <v>0.4</v>
      </c>
      <c r="F16" s="50">
        <v>0.05</v>
      </c>
      <c r="G16" s="50">
        <v>0.3</v>
      </c>
      <c r="H16" s="46"/>
      <c r="I16" s="42"/>
      <c r="J16" s="60"/>
      <c r="K16" s="2"/>
      <c r="L16" s="26">
        <v>0.5</v>
      </c>
      <c r="M16" s="25" t="s">
        <v>54</v>
      </c>
      <c r="N16" s="25" t="s">
        <v>55</v>
      </c>
      <c r="O16" s="17"/>
      <c r="P16" s="17"/>
      <c r="Q16" s="17"/>
    </row>
    <row r="17" spans="1:18" ht="30" customHeight="1" thickBot="1" x14ac:dyDescent="0.3">
      <c r="A17" s="43" t="s">
        <v>62</v>
      </c>
      <c r="B17" s="43" t="s">
        <v>89</v>
      </c>
      <c r="C17" s="51" t="s">
        <v>17</v>
      </c>
      <c r="D17" s="51" t="s">
        <v>10</v>
      </c>
      <c r="E17" s="51" t="s">
        <v>16</v>
      </c>
      <c r="F17" s="51" t="s">
        <v>15</v>
      </c>
      <c r="G17" s="51" t="s">
        <v>28</v>
      </c>
      <c r="H17" s="47">
        <f>MAX(C18:F18)*G18</f>
        <v>0.24</v>
      </c>
      <c r="I17" s="43" t="s">
        <v>90</v>
      </c>
      <c r="J17" s="61" t="s">
        <v>73</v>
      </c>
      <c r="K17" s="2"/>
      <c r="L17" s="26">
        <v>0.7</v>
      </c>
      <c r="M17" s="25" t="s">
        <v>47</v>
      </c>
      <c r="N17" s="25" t="s">
        <v>56</v>
      </c>
      <c r="O17" s="17"/>
      <c r="P17" s="17"/>
      <c r="Q17" s="17"/>
    </row>
    <row r="18" spans="1:18" ht="30" customHeight="1" thickBot="1" x14ac:dyDescent="0.3">
      <c r="A18" s="44"/>
      <c r="B18" s="44"/>
      <c r="C18" s="50">
        <v>0.4</v>
      </c>
      <c r="D18" s="50">
        <v>0.8</v>
      </c>
      <c r="E18" s="50">
        <v>0.2</v>
      </c>
      <c r="F18" s="50">
        <v>0.1</v>
      </c>
      <c r="G18" s="50">
        <v>0.3</v>
      </c>
      <c r="H18" s="48"/>
      <c r="I18" s="44"/>
      <c r="J18" s="62"/>
      <c r="K18" s="2"/>
      <c r="L18" s="26">
        <v>0.9</v>
      </c>
      <c r="M18" s="25" t="s">
        <v>57</v>
      </c>
      <c r="N18" s="25" t="s">
        <v>58</v>
      </c>
      <c r="O18" s="17"/>
      <c r="P18" s="17"/>
      <c r="Q18" s="17"/>
    </row>
    <row r="19" spans="1:18" ht="30" customHeight="1" x14ac:dyDescent="0.25">
      <c r="A19" s="41" t="s">
        <v>91</v>
      </c>
      <c r="B19" s="41" t="s">
        <v>92</v>
      </c>
      <c r="C19" s="49" t="s">
        <v>17</v>
      </c>
      <c r="D19" s="49" t="s">
        <v>10</v>
      </c>
      <c r="E19" s="49" t="s">
        <v>17</v>
      </c>
      <c r="F19" s="49" t="s">
        <v>14</v>
      </c>
      <c r="G19" s="49" t="s">
        <v>54</v>
      </c>
      <c r="H19" s="45">
        <f>MAX(C20:F20)*G20</f>
        <v>0.4</v>
      </c>
      <c r="I19" s="41" t="s">
        <v>93</v>
      </c>
      <c r="J19" s="59" t="s">
        <v>94</v>
      </c>
      <c r="K19" s="2"/>
    </row>
    <row r="20" spans="1:18" ht="30" customHeight="1" x14ac:dyDescent="0.25">
      <c r="A20" s="42"/>
      <c r="B20" s="42"/>
      <c r="C20" s="50">
        <v>0.4</v>
      </c>
      <c r="D20" s="50">
        <v>0.8</v>
      </c>
      <c r="E20" s="50">
        <v>0.4</v>
      </c>
      <c r="F20" s="50">
        <v>0.05</v>
      </c>
      <c r="G20" s="50">
        <v>0.5</v>
      </c>
      <c r="H20" s="46"/>
      <c r="I20" s="42"/>
      <c r="J20" s="60"/>
      <c r="K20" s="2"/>
    </row>
    <row r="21" spans="1:18" ht="30" customHeight="1" x14ac:dyDescent="0.25">
      <c r="A21" s="43" t="s">
        <v>95</v>
      </c>
      <c r="B21" s="43" t="s">
        <v>96</v>
      </c>
      <c r="C21" s="51" t="s">
        <v>10</v>
      </c>
      <c r="D21" s="51" t="s">
        <v>10</v>
      </c>
      <c r="E21" s="51" t="s">
        <v>17</v>
      </c>
      <c r="F21" s="51" t="s">
        <v>15</v>
      </c>
      <c r="G21" s="51" t="s">
        <v>54</v>
      </c>
      <c r="H21" s="47">
        <f>MAX(C22:F22)*G22</f>
        <v>0.4</v>
      </c>
      <c r="I21" s="43" t="s">
        <v>97</v>
      </c>
      <c r="J21" s="61" t="s">
        <v>59</v>
      </c>
      <c r="K21" s="2"/>
    </row>
    <row r="22" spans="1:18" ht="30" customHeight="1" x14ac:dyDescent="0.25">
      <c r="A22" s="44"/>
      <c r="B22" s="44"/>
      <c r="C22" s="50">
        <v>0.8</v>
      </c>
      <c r="D22" s="50">
        <v>0.8</v>
      </c>
      <c r="E22" s="50">
        <v>0.4</v>
      </c>
      <c r="F22" s="50">
        <v>0.1</v>
      </c>
      <c r="G22" s="50">
        <v>0.5</v>
      </c>
      <c r="H22" s="48"/>
      <c r="I22" s="44"/>
      <c r="J22" s="62"/>
      <c r="K22" s="2"/>
      <c r="L22" s="2"/>
      <c r="M22" s="4"/>
      <c r="N22" s="4"/>
      <c r="O22" s="2"/>
      <c r="P22" s="2"/>
      <c r="Q22" s="2"/>
      <c r="R22" s="2"/>
    </row>
    <row r="23" spans="1:18" ht="30" customHeight="1" x14ac:dyDescent="0.3">
      <c r="A23" s="41" t="s">
        <v>98</v>
      </c>
      <c r="B23" s="41" t="s">
        <v>99</v>
      </c>
      <c r="C23" s="49" t="s">
        <v>14</v>
      </c>
      <c r="D23" s="49" t="s">
        <v>10</v>
      </c>
      <c r="E23" s="49" t="s">
        <v>11</v>
      </c>
      <c r="F23" s="49" t="s">
        <v>14</v>
      </c>
      <c r="G23" s="49" t="s">
        <v>54</v>
      </c>
      <c r="H23" s="45">
        <f>MAX(C24:F24)*G24</f>
        <v>0.4</v>
      </c>
      <c r="I23" s="41" t="s">
        <v>100</v>
      </c>
      <c r="J23" s="59" t="s">
        <v>101</v>
      </c>
      <c r="K23" s="2"/>
      <c r="L23" s="21"/>
      <c r="M23" s="21"/>
      <c r="N23" s="24" t="s">
        <v>60</v>
      </c>
      <c r="O23" s="23"/>
      <c r="P23" s="23"/>
      <c r="Q23" s="23"/>
      <c r="R23" s="22"/>
    </row>
    <row r="24" spans="1:18" ht="30" customHeight="1" x14ac:dyDescent="0.3">
      <c r="A24" s="42"/>
      <c r="B24" s="42"/>
      <c r="C24" s="50">
        <v>0.05</v>
      </c>
      <c r="D24" s="50">
        <v>0.8</v>
      </c>
      <c r="E24" s="50">
        <v>0.2</v>
      </c>
      <c r="F24" s="50">
        <v>0.05</v>
      </c>
      <c r="G24" s="50">
        <v>0.5</v>
      </c>
      <c r="H24" s="46"/>
      <c r="I24" s="42"/>
      <c r="J24" s="60"/>
      <c r="K24" s="2"/>
      <c r="L24" s="21"/>
      <c r="M24" s="21"/>
      <c r="N24" s="15">
        <v>0.05</v>
      </c>
      <c r="O24" s="15">
        <v>0.1</v>
      </c>
      <c r="P24" s="15">
        <v>0.2</v>
      </c>
      <c r="Q24" s="15">
        <v>0.4</v>
      </c>
      <c r="R24" s="15">
        <v>0.8</v>
      </c>
    </row>
    <row r="25" spans="1:18" ht="30" customHeight="1" x14ac:dyDescent="0.25">
      <c r="A25" s="43" t="s">
        <v>40</v>
      </c>
      <c r="B25" s="43" t="s">
        <v>102</v>
      </c>
      <c r="C25" s="51" t="s">
        <v>10</v>
      </c>
      <c r="D25" s="51" t="s">
        <v>14</v>
      </c>
      <c r="E25" s="51" t="s">
        <v>14</v>
      </c>
      <c r="F25" s="51" t="s">
        <v>14</v>
      </c>
      <c r="G25" s="51" t="s">
        <v>12</v>
      </c>
      <c r="H25" s="47">
        <f>MAX(C26:F26)*G26</f>
        <v>8.0000000000000016E-2</v>
      </c>
      <c r="I25" s="43" t="s">
        <v>103</v>
      </c>
      <c r="J25" s="61" t="s">
        <v>104</v>
      </c>
      <c r="K25" s="2"/>
      <c r="L25" s="20" t="s">
        <v>61</v>
      </c>
      <c r="M25" s="15">
        <v>0.9</v>
      </c>
      <c r="N25" s="13">
        <v>0.05</v>
      </c>
      <c r="O25" s="13">
        <v>0.09</v>
      </c>
      <c r="P25" s="18">
        <v>0.18</v>
      </c>
      <c r="Q25" s="18">
        <v>0.36</v>
      </c>
      <c r="R25" s="18">
        <v>0.72</v>
      </c>
    </row>
    <row r="26" spans="1:18" ht="30" customHeight="1" x14ac:dyDescent="0.25">
      <c r="A26" s="44"/>
      <c r="B26" s="44"/>
      <c r="C26" s="50">
        <v>0.8</v>
      </c>
      <c r="D26" s="50">
        <v>0.05</v>
      </c>
      <c r="E26" s="50">
        <v>0.05</v>
      </c>
      <c r="F26" s="50">
        <v>0.05</v>
      </c>
      <c r="G26" s="50">
        <v>0.1</v>
      </c>
      <c r="H26" s="48"/>
      <c r="I26" s="44"/>
      <c r="J26" s="62"/>
      <c r="K26" s="2"/>
      <c r="L26" s="19"/>
      <c r="M26" s="15">
        <v>0.7</v>
      </c>
      <c r="N26" s="14">
        <v>0.04</v>
      </c>
      <c r="O26" s="13">
        <v>7.0000000000000007E-2</v>
      </c>
      <c r="P26" s="13">
        <v>0.14000000000000001</v>
      </c>
      <c r="Q26" s="18">
        <v>0.28000000000000003</v>
      </c>
      <c r="R26" s="18">
        <v>0.56000000000000005</v>
      </c>
    </row>
    <row r="27" spans="1:18" ht="30" customHeight="1" x14ac:dyDescent="0.25">
      <c r="A27" s="41" t="s">
        <v>105</v>
      </c>
      <c r="B27" s="41" t="s">
        <v>106</v>
      </c>
      <c r="C27" s="49" t="s">
        <v>10</v>
      </c>
      <c r="D27" s="49" t="s">
        <v>10</v>
      </c>
      <c r="E27" s="49" t="s">
        <v>17</v>
      </c>
      <c r="F27" s="49" t="s">
        <v>17</v>
      </c>
      <c r="G27" s="49" t="s">
        <v>12</v>
      </c>
      <c r="H27" s="45">
        <f>MAX(C28:F28)*G28</f>
        <v>8.0000000000000016E-2</v>
      </c>
      <c r="I27" s="41" t="s">
        <v>107</v>
      </c>
      <c r="J27" s="59" t="s">
        <v>119</v>
      </c>
      <c r="K27" s="2"/>
      <c r="L27" s="19"/>
      <c r="M27" s="15">
        <v>0.5</v>
      </c>
      <c r="N27" s="14">
        <v>0.03</v>
      </c>
      <c r="O27" s="13">
        <v>0.05</v>
      </c>
      <c r="P27" s="13">
        <v>0.1</v>
      </c>
      <c r="Q27" s="18">
        <v>0.2</v>
      </c>
      <c r="R27" s="18">
        <v>0.4</v>
      </c>
    </row>
    <row r="28" spans="1:18" ht="30" customHeight="1" x14ac:dyDescent="0.25">
      <c r="A28" s="42"/>
      <c r="B28" s="42"/>
      <c r="C28" s="50">
        <v>0.8</v>
      </c>
      <c r="D28" s="50">
        <v>0.8</v>
      </c>
      <c r="E28" s="50">
        <v>0.4</v>
      </c>
      <c r="F28" s="50">
        <v>0.4</v>
      </c>
      <c r="G28" s="50">
        <v>0.1</v>
      </c>
      <c r="H28" s="46"/>
      <c r="I28" s="42"/>
      <c r="J28" s="60"/>
      <c r="K28" s="2"/>
      <c r="L28" s="19"/>
      <c r="M28" s="15">
        <v>0.3</v>
      </c>
      <c r="N28" s="14">
        <v>0.02</v>
      </c>
      <c r="O28" s="14">
        <v>0.03</v>
      </c>
      <c r="P28" s="13">
        <v>0.06</v>
      </c>
      <c r="Q28" s="13">
        <v>0.12</v>
      </c>
      <c r="R28" s="18">
        <v>0.24</v>
      </c>
    </row>
    <row r="29" spans="1:18" ht="30" customHeight="1" x14ac:dyDescent="0.25">
      <c r="A29" s="43" t="s">
        <v>108</v>
      </c>
      <c r="B29" s="43" t="s">
        <v>109</v>
      </c>
      <c r="C29" s="51" t="s">
        <v>17</v>
      </c>
      <c r="D29" s="51" t="s">
        <v>17</v>
      </c>
      <c r="E29" s="51" t="s">
        <v>11</v>
      </c>
      <c r="F29" s="51" t="s">
        <v>10</v>
      </c>
      <c r="G29" s="51" t="s">
        <v>12</v>
      </c>
      <c r="H29" s="47">
        <f>MAX(C30:F30)*G30</f>
        <v>8.0000000000000016E-2</v>
      </c>
      <c r="I29" s="43" t="s">
        <v>110</v>
      </c>
      <c r="J29" s="61" t="s">
        <v>94</v>
      </c>
      <c r="K29" s="2"/>
      <c r="L29" s="16"/>
      <c r="M29" s="15">
        <v>0.1</v>
      </c>
      <c r="N29" s="14">
        <v>0.01</v>
      </c>
      <c r="O29" s="14">
        <v>0.01</v>
      </c>
      <c r="P29" s="14">
        <v>0.02</v>
      </c>
      <c r="Q29" s="14">
        <v>0.04</v>
      </c>
      <c r="R29" s="13">
        <v>0.08</v>
      </c>
    </row>
    <row r="30" spans="1:18" ht="30" customHeight="1" x14ac:dyDescent="0.25">
      <c r="A30" s="44"/>
      <c r="B30" s="44"/>
      <c r="C30" s="50">
        <v>0.4</v>
      </c>
      <c r="D30" s="50">
        <v>0.4</v>
      </c>
      <c r="E30" s="50">
        <v>0.2</v>
      </c>
      <c r="F30" s="50">
        <v>0.8</v>
      </c>
      <c r="G30" s="50">
        <v>0.1</v>
      </c>
      <c r="H30" s="48"/>
      <c r="I30" s="44"/>
      <c r="J30" s="62"/>
      <c r="K30" s="2"/>
      <c r="L30" s="2"/>
      <c r="M30" s="12"/>
      <c r="N30" s="12"/>
      <c r="O30" s="2"/>
      <c r="P30" s="2"/>
      <c r="Q30" s="2"/>
      <c r="R30" s="2"/>
    </row>
    <row r="31" spans="1:18" ht="30" customHeight="1" x14ac:dyDescent="0.25">
      <c r="A31" s="41" t="s">
        <v>111</v>
      </c>
      <c r="B31" s="41" t="s">
        <v>112</v>
      </c>
      <c r="C31" s="49" t="s">
        <v>17</v>
      </c>
      <c r="D31" s="49" t="s">
        <v>10</v>
      </c>
      <c r="E31" s="49" t="s">
        <v>17</v>
      </c>
      <c r="F31" s="49" t="s">
        <v>17</v>
      </c>
      <c r="G31" s="49" t="s">
        <v>12</v>
      </c>
      <c r="H31" s="45">
        <f>MAX(C32:F32)*G32</f>
        <v>8.0000000000000016E-2</v>
      </c>
      <c r="I31" s="41" t="s">
        <v>113</v>
      </c>
      <c r="J31" s="59" t="s">
        <v>114</v>
      </c>
      <c r="K31" s="2"/>
      <c r="L31" s="2"/>
      <c r="M31" s="4"/>
      <c r="N31" s="4"/>
      <c r="O31" s="2"/>
      <c r="P31" s="2"/>
      <c r="Q31" s="2"/>
      <c r="R31" s="2"/>
    </row>
    <row r="32" spans="1:18" ht="30" customHeight="1" x14ac:dyDescent="0.25">
      <c r="A32" s="42"/>
      <c r="B32" s="42"/>
      <c r="C32" s="50">
        <v>0.4</v>
      </c>
      <c r="D32" s="50">
        <v>0.8</v>
      </c>
      <c r="E32" s="50">
        <v>0.4</v>
      </c>
      <c r="F32" s="50">
        <v>0.4</v>
      </c>
      <c r="G32" s="50">
        <v>0.1</v>
      </c>
      <c r="H32" s="46"/>
      <c r="I32" s="42"/>
      <c r="J32" s="60"/>
      <c r="K32" s="2"/>
      <c r="L32" s="2"/>
      <c r="M32" s="4"/>
      <c r="N32" s="4"/>
      <c r="O32" s="2"/>
      <c r="P32" s="2"/>
      <c r="Q32" s="2"/>
      <c r="R32" s="2"/>
    </row>
    <row r="33" spans="1:18" ht="30" customHeight="1" x14ac:dyDescent="0.25">
      <c r="A33" s="11"/>
      <c r="B33" s="11"/>
      <c r="C33" s="52"/>
      <c r="D33" s="52"/>
      <c r="E33" s="52"/>
      <c r="F33" s="52"/>
      <c r="G33" s="52"/>
      <c r="H33" s="10"/>
      <c r="I33" s="9"/>
      <c r="J33" s="8"/>
      <c r="K33" s="2"/>
      <c r="L33" s="2"/>
      <c r="M33" s="4"/>
      <c r="N33" s="4"/>
      <c r="O33" s="7" t="s">
        <v>63</v>
      </c>
      <c r="P33" s="2"/>
      <c r="Q33" s="2"/>
      <c r="R33" s="2"/>
    </row>
    <row r="34" spans="1:18" ht="24.95" customHeight="1" x14ac:dyDescent="0.25">
      <c r="A34" s="6"/>
      <c r="B34" s="6"/>
      <c r="C34" s="53"/>
      <c r="D34" s="53"/>
      <c r="E34" s="53"/>
      <c r="F34" s="53"/>
      <c r="G34" s="53"/>
      <c r="H34" s="6"/>
      <c r="I34" s="6"/>
      <c r="J34" s="6"/>
      <c r="K34" s="2"/>
      <c r="L34" s="2"/>
      <c r="M34" s="4"/>
      <c r="N34" s="4"/>
      <c r="O34" s="5" t="s">
        <v>64</v>
      </c>
      <c r="P34" s="2"/>
      <c r="Q34" s="2"/>
      <c r="R34" s="2"/>
    </row>
    <row r="35" spans="1:18" ht="24.95" customHeight="1" x14ac:dyDescent="0.25">
      <c r="L35" s="2"/>
      <c r="M35" s="4"/>
      <c r="N35" s="4"/>
      <c r="O35" s="3" t="s">
        <v>65</v>
      </c>
      <c r="P35" s="2"/>
      <c r="Q35" s="2"/>
      <c r="R35" s="2"/>
    </row>
    <row r="36" spans="1:18" ht="24.95" customHeight="1" x14ac:dyDescent="0.25"/>
  </sheetData>
  <mergeCells count="94">
    <mergeCell ref="M33:N33"/>
    <mergeCell ref="M34:N34"/>
    <mergeCell ref="M35:N35"/>
    <mergeCell ref="M30:N30"/>
    <mergeCell ref="A31:A32"/>
    <mergeCell ref="B31:B32"/>
    <mergeCell ref="H31:H32"/>
    <mergeCell ref="I31:I32"/>
    <mergeCell ref="J31:J32"/>
    <mergeCell ref="M31:N31"/>
    <mergeCell ref="M32:N32"/>
    <mergeCell ref="J27:J28"/>
    <mergeCell ref="A29:A30"/>
    <mergeCell ref="B29:B30"/>
    <mergeCell ref="H29:H30"/>
    <mergeCell ref="I29:I30"/>
    <mergeCell ref="J29:J30"/>
    <mergeCell ref="A25:A26"/>
    <mergeCell ref="B25:B26"/>
    <mergeCell ref="H25:H26"/>
    <mergeCell ref="I25:I26"/>
    <mergeCell ref="J25:J26"/>
    <mergeCell ref="L25:L29"/>
    <mergeCell ref="A27:A28"/>
    <mergeCell ref="B27:B28"/>
    <mergeCell ref="H27:H28"/>
    <mergeCell ref="I27:I28"/>
    <mergeCell ref="M22:N22"/>
    <mergeCell ref="A23:A24"/>
    <mergeCell ref="B23:B24"/>
    <mergeCell ref="H23:H24"/>
    <mergeCell ref="I23:I24"/>
    <mergeCell ref="J23:J24"/>
    <mergeCell ref="N23:R23"/>
    <mergeCell ref="A19:A20"/>
    <mergeCell ref="B19:B20"/>
    <mergeCell ref="H19:H20"/>
    <mergeCell ref="I19:I20"/>
    <mergeCell ref="J19:J20"/>
    <mergeCell ref="A21:A22"/>
    <mergeCell ref="B21:B22"/>
    <mergeCell ref="H21:H22"/>
    <mergeCell ref="I21:I22"/>
    <mergeCell ref="J21:J22"/>
    <mergeCell ref="A15:A16"/>
    <mergeCell ref="B15:B16"/>
    <mergeCell ref="H15:H16"/>
    <mergeCell ref="I15:I16"/>
    <mergeCell ref="J15:J16"/>
    <mergeCell ref="A17:A18"/>
    <mergeCell ref="B17:B18"/>
    <mergeCell ref="H17:H18"/>
    <mergeCell ref="I17:I18"/>
    <mergeCell ref="J17:J18"/>
    <mergeCell ref="L11:Q11"/>
    <mergeCell ref="A13:A14"/>
    <mergeCell ref="B13:B14"/>
    <mergeCell ref="H13:H14"/>
    <mergeCell ref="I13:I14"/>
    <mergeCell ref="J13:J14"/>
    <mergeCell ref="A9:A10"/>
    <mergeCell ref="B9:B10"/>
    <mergeCell ref="H9:H10"/>
    <mergeCell ref="I9:I10"/>
    <mergeCell ref="J9:J10"/>
    <mergeCell ref="A11:A12"/>
    <mergeCell ref="B11:B12"/>
    <mergeCell ref="H11:H12"/>
    <mergeCell ref="I11:I12"/>
    <mergeCell ref="J11:J12"/>
    <mergeCell ref="H5:H6"/>
    <mergeCell ref="I5:I6"/>
    <mergeCell ref="J5:J6"/>
    <mergeCell ref="A7:A8"/>
    <mergeCell ref="B7:B8"/>
    <mergeCell ref="H7:H8"/>
    <mergeCell ref="I7:I8"/>
    <mergeCell ref="J7:J8"/>
    <mergeCell ref="J1:J2"/>
    <mergeCell ref="L2:Q2"/>
    <mergeCell ref="A3:A4"/>
    <mergeCell ref="B3:B4"/>
    <mergeCell ref="H3:H4"/>
    <mergeCell ref="I3:I4"/>
    <mergeCell ref="J3:J4"/>
    <mergeCell ref="L4:L5"/>
    <mergeCell ref="A5:A6"/>
    <mergeCell ref="B5:B6"/>
    <mergeCell ref="A1:A2"/>
    <mergeCell ref="B1:B2"/>
    <mergeCell ref="C1:F1"/>
    <mergeCell ref="G1:G2"/>
    <mergeCell ref="H1:H2"/>
    <mergeCell ref="I1:I2"/>
  </mergeCells>
  <conditionalFormatting sqref="H3 H5 H7 H9 H11 H13 H15 H17 H19 H21 H23 H25 H27 H29 H31">
    <cfRule type="cellIs" dxfId="2" priority="2" operator="greaterThan">
      <formula>0.2</formula>
    </cfRule>
    <cfRule type="cellIs" dxfId="1" priority="3" operator="between">
      <formula>0.081</formula>
      <formula>0.2</formula>
    </cfRule>
    <cfRule type="cellIs" dxfId="0" priority="4" operator="lessThanOrEqual">
      <formula>0.08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de Risco - DNA Combing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Albuquerque</dc:creator>
  <cp:lastModifiedBy>Rafael Albuquerque</cp:lastModifiedBy>
  <dcterms:created xsi:type="dcterms:W3CDTF">2026-05-24T20:46:48Z</dcterms:created>
  <dcterms:modified xsi:type="dcterms:W3CDTF">2026-05-25T01:33:44Z</dcterms:modified>
</cp:coreProperties>
</file>